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1. Cover" sheetId="1" r:id="rId1"/>
    <sheet name="2. Assumptions" sheetId="2" r:id="rId2"/>
    <sheet name="3. Base Case" sheetId="3" r:id="rId3"/>
    <sheet name="4. Conservative" sheetId="4" r:id="rId4"/>
    <sheet name="5. Dashboard" sheetId="5" r:id="rId5"/>
  </sheets>
  <calcPr calcId="124519" fullCalcOnLoad="1"/>
</workbook>
</file>

<file path=xl/sharedStrings.xml><?xml version="1.0" encoding="utf-8"?>
<sst xmlns="http://schemas.openxmlformats.org/spreadsheetml/2006/main" count="108" uniqueCount="58">
  <si>
    <t>MONARCH CONVICTION AMC</t>
  </si>
  <si>
    <t>Launchpad Alpha 2026 — Institutional Financial Model</t>
  </si>
  <si>
    <t>Date Generated: February 27, 2026</t>
  </si>
  <si>
    <t>MODEL STRUCTURE &amp; INDEX</t>
  </si>
  <si>
    <t>1. Cover: Model details and formatting legend</t>
  </si>
  <si>
    <t>2. Dashboard: Visual summary of KPIs and breakeven metrics</t>
  </si>
  <si>
    <t>3. Assumptions: Core drivers (AUM, Yield, Opex) - ALL INPUTS HERE</t>
  </si>
  <si>
    <t>4. Base Case: Granular 5-Year Profit &amp; Loss (Formula Driven)</t>
  </si>
  <si>
    <t>5. Conservative: Sensitized 5-Year Profit &amp; Loss (Formula Driven)</t>
  </si>
  <si>
    <t>FORMATTING LEGEND</t>
  </si>
  <si>
    <t>1,000.00</t>
  </si>
  <si>
    <t xml:space="preserve">      Hardcoded Inputs (Yellow fill, Blue text) - Modify these only</t>
  </si>
  <si>
    <t xml:space="preserve">      Calculations (Black text) - Do not modify</t>
  </si>
  <si>
    <t>KEY ASSUMPTIONS &amp; DRIVERS</t>
  </si>
  <si>
    <t>Year 1</t>
  </si>
  <si>
    <t>Year 2</t>
  </si>
  <si>
    <t>Year 3</t>
  </si>
  <si>
    <t>Year 4</t>
  </si>
  <si>
    <t>Year 5</t>
  </si>
  <si>
    <t>1. ASSETS UNDER MANAGEMENT (Rs. Crore)</t>
  </si>
  <si>
    <t>Base Case - MF AUM</t>
  </si>
  <si>
    <t>Base Case - SIF AUM</t>
  </si>
  <si>
    <t>Conservative Case - MF AUM</t>
  </si>
  <si>
    <t>Conservative Case - SIF AUM</t>
  </si>
  <si>
    <t>2. YIELD ASSUMPTIONS</t>
  </si>
  <si>
    <t>Blended Net AMC Retention (MF &amp; SIF)</t>
  </si>
  <si>
    <t>3. BASE CASE COST DRIVERS (Rs. Crore)</t>
  </si>
  <si>
    <t>Investment Team (incl SIF CIO)</t>
  </si>
  <si>
    <t>Operations &amp; R&amp;T (Variable)</t>
  </si>
  <si>
    <t>Technology (Portal &amp; Dashboard)</t>
  </si>
  <si>
    <t>Content &amp; Distribution (NFOs)</t>
  </si>
  <si>
    <t>Compliance &amp; Legal</t>
  </si>
  <si>
    <t>Office &amp; Overhead</t>
  </si>
  <si>
    <t>4. CONSERVATIVE CASE COST DRIVERS (Rs. Crore)</t>
  </si>
  <si>
    <t>5. CORPORATE PARAMETERS</t>
  </si>
  <si>
    <t>Monarch Networth (Rs. Crore)</t>
  </si>
  <si>
    <t>BASE CASE — DETAILED P&amp;L</t>
  </si>
  <si>
    <t>ASSETS UNDER MANAGEMENT (Rs. Crore)</t>
  </si>
  <si>
    <t>Mutual Fund (MF) AUM</t>
  </si>
  <si>
    <t>Specialized Investment Fund (SIF) AUM</t>
  </si>
  <si>
    <t>Total Period-End AUM</t>
  </si>
  <si>
    <t>REVENUE (Rs. Crore)</t>
  </si>
  <si>
    <t>Blended Net AMC Retention Yield</t>
  </si>
  <si>
    <t>Management Fee Revenue</t>
  </si>
  <si>
    <t>OPERATING EXPENSES (Rs. Crore)</t>
  </si>
  <si>
    <t>Total Operating Expenses</t>
  </si>
  <si>
    <t>PROFITABILITY METRICS</t>
  </si>
  <si>
    <t>Profit Before Tax (PBT)</t>
  </si>
  <si>
    <t>PBT Margin (%)</t>
  </si>
  <si>
    <t>CAPITAL DRAWDOWN ANALYSIS</t>
  </si>
  <si>
    <t>Cumulative Profit/Loss</t>
  </si>
  <si>
    <t>Monarch Networth</t>
  </si>
  <si>
    <t>Max Drawdown as % of Networth</t>
  </si>
  <si>
    <t>CONSERVATIVE CASE — DETAILED P&amp;L</t>
  </si>
  <si>
    <t>EXECUTIVE DASHBOARD</t>
  </si>
  <si>
    <t>Base Case AUM (Rs. Cr)</t>
  </si>
  <si>
    <t>Base Case PBT (Rs. Cr)</t>
  </si>
  <si>
    <t>Conservative PBT (Rs. Cr)</t>
  </si>
</sst>
</file>

<file path=xl/styles.xml><?xml version="1.0" encoding="utf-8"?>
<styleSheet xmlns="http://schemas.openxmlformats.org/spreadsheetml/2006/main">
  <numFmts count="3">
    <numFmt numFmtId="164" formatCode="_(* #,##0_);_(* (#,##0);_(* &quot;-&quot;??_);_(@_)"/>
    <numFmt numFmtId="165" formatCode="0.00%"/>
    <numFmt numFmtId="166" formatCode="_(* #,##0.00_);_(* (#,##0.00);_(* &quot;-&quot;??_);_(@_)"/>
  </numFmts>
  <fonts count="7">
    <font>
      <sz val="11"/>
      <color theme="1"/>
      <name val="Calibri"/>
      <family val="2"/>
      <scheme val="minor"/>
    </font>
    <font>
      <b/>
      <sz val="24"/>
      <color rgb="FF0F243E"/>
      <name val="Calibri"/>
      <family val="2"/>
      <scheme val="minor"/>
    </font>
    <font>
      <b/>
      <sz val="14"/>
      <color rgb="FFC6591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sz val="11"/>
      <color rgb="FF0000FF"/>
      <name val="Calibri"/>
      <family val="2"/>
      <scheme val="minor"/>
    </font>
    <font>
      <sz val="11"/>
      <color rgb="FF00000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0F243E"/>
        <bgColor indexed="64"/>
      </patternFill>
    </fill>
    <fill>
      <patternFill patternType="solid">
        <fgColor rgb="FFD9E1F2"/>
        <bgColor indexed="64"/>
      </patternFill>
    </fill>
    <fill>
      <patternFill patternType="solid">
        <fgColor rgb="FFFFFFE0"/>
        <bgColor indexed="64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0" fontId="0" fillId="0" borderId="0" xfId="0" applyAlignment="1">
      <alignment vertical="center"/>
    </xf>
    <xf numFmtId="0" fontId="3" fillId="0" borderId="0" xfId="0" applyFont="1" applyAlignment="1">
      <alignment vertical="center"/>
    </xf>
    <xf numFmtId="0" fontId="0" fillId="0" borderId="0" xfId="0" applyAlignment="1">
      <alignment horizontal="left" vertical="center" indent="1"/>
    </xf>
    <xf numFmtId="0" fontId="4" fillId="2" borderId="1" xfId="0" applyFont="1" applyFill="1" applyBorder="1" applyAlignment="1">
      <alignment horizontal="center" vertical="center"/>
    </xf>
    <xf numFmtId="0" fontId="3" fillId="3" borderId="2" xfId="0" applyFont="1" applyFill="1" applyBorder="1" applyAlignment="1">
      <alignment vertical="center"/>
    </xf>
    <xf numFmtId="164" fontId="5" fillId="4" borderId="1" xfId="0" applyNumberFormat="1" applyFont="1" applyFill="1" applyBorder="1" applyAlignment="1">
      <alignment vertical="center"/>
    </xf>
    <xf numFmtId="165" fontId="5" fillId="4" borderId="1" xfId="0" applyNumberFormat="1" applyFont="1" applyFill="1" applyBorder="1" applyAlignment="1">
      <alignment vertical="center"/>
    </xf>
    <xf numFmtId="166" fontId="5" fillId="4" borderId="1" xfId="0" applyNumberFormat="1" applyFont="1" applyFill="1" applyBorder="1" applyAlignment="1">
      <alignment vertical="center"/>
    </xf>
    <xf numFmtId="164" fontId="6" fillId="0" borderId="0" xfId="0" applyNumberFormat="1" applyFont="1" applyAlignment="1">
      <alignment vertical="center"/>
    </xf>
    <xf numFmtId="164" fontId="3" fillId="0" borderId="3" xfId="0" applyNumberFormat="1" applyFont="1" applyBorder="1" applyAlignment="1">
      <alignment vertical="center"/>
    </xf>
    <xf numFmtId="165" fontId="6" fillId="0" borderId="0" xfId="0" applyNumberFormat="1" applyFont="1" applyAlignment="1">
      <alignment vertical="center"/>
    </xf>
    <xf numFmtId="166" fontId="3" fillId="0" borderId="3" xfId="0" applyNumberFormat="1" applyFont="1" applyBorder="1" applyAlignment="1">
      <alignment vertical="center"/>
    </xf>
    <xf numFmtId="166" fontId="6" fillId="0" borderId="0" xfId="0" applyNumberFormat="1" applyFont="1" applyAlignment="1">
      <alignment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Base Case AUM Trajectory (Rs. Crore)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Total AUM</c:v>
          </c:tx>
          <c:spPr>
            <a:solidFill>
              <a:srgbClr val="0F243E"/>
            </a:solidFill>
          </c:spPr>
          <c:dLbls>
            <c:numFmt formatCode="#,##0" sourceLinked="0"/>
            <c:showVal val="1"/>
          </c:dLbls>
          <c:cat>
            <c:strRef>
              <c:f>'5. Dashboard'!$D$4:$H$4</c:f>
              <c:strCache>
                <c:ptCount val="5"/>
                <c:pt idx="0">
                  <c:v>Year 1</c:v>
                </c:pt>
                <c:pt idx="1">
                  <c:v>Year 2</c:v>
                </c:pt>
                <c:pt idx="2">
                  <c:v>Year 3</c:v>
                </c:pt>
                <c:pt idx="3">
                  <c:v>Year 4</c:v>
                </c:pt>
                <c:pt idx="4">
                  <c:v>Year 5</c:v>
                </c:pt>
              </c:strCache>
            </c:strRef>
          </c:cat>
          <c:val>
            <c:numRef>
              <c:f>'5. Dashboard'!$D$5:$H$5</c:f>
              <c:numCache>
                <c:formatCode>General</c:formatCode>
                <c:ptCount val="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Financial Year</a:t>
                </a:r>
              </a:p>
            </c:rich>
          </c:tx>
          <c:layout/>
        </c:title>
        <c:tickLblPos val="nextTo"/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AUM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Path to Profitability (PBT)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v>Base Case PBT</c:v>
          </c:tx>
          <c:spPr>
            <a:ln w="31750">
              <a:solidFill>
                <a:srgbClr val="C65911"/>
              </a:solidFill>
            </a:ln>
          </c:spPr>
          <c:marker>
            <c:symbol val="circle"/>
            <c:size val="6"/>
            <c:spPr>
              <a:solidFill>
                <a:srgbClr val="C65911"/>
              </a:solidFill>
              <a:ln>
                <a:solidFill>
                  <a:srgbClr val="C65911"/>
                </a:solidFill>
              </a:ln>
            </c:spPr>
          </c:marker>
          <c:cat>
            <c:strRef>
              <c:f>'5. Dashboard'!$D$4:$H$4</c:f>
              <c:strCache>
                <c:ptCount val="5"/>
                <c:pt idx="0">
                  <c:v>Year 1</c:v>
                </c:pt>
                <c:pt idx="1">
                  <c:v>Year 2</c:v>
                </c:pt>
                <c:pt idx="2">
                  <c:v>Year 3</c:v>
                </c:pt>
                <c:pt idx="3">
                  <c:v>Year 4</c:v>
                </c:pt>
                <c:pt idx="4">
                  <c:v>Year 5</c:v>
                </c:pt>
              </c:strCache>
            </c:strRef>
          </c:cat>
          <c:val>
            <c:numRef>
              <c:f>'5. Dashboard'!$D$6:$H$6</c:f>
              <c:numCache>
                <c:formatCode>General</c:formatCode>
                <c:ptCount val="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</c:ser>
        <c:ser>
          <c:idx val="1"/>
          <c:order val="1"/>
          <c:tx>
            <c:v>Conservative PBT</c:v>
          </c:tx>
          <c:spPr>
            <a:ln w="31750">
              <a:solidFill>
                <a:srgbClr val="A6A6A6"/>
              </a:solidFill>
              <a:prstDash val="dash"/>
            </a:ln>
          </c:spPr>
          <c:marker>
            <c:symbol val="none"/>
          </c:marker>
          <c:cat>
            <c:strRef>
              <c:f>'5. Dashboard'!$D$4:$H$4</c:f>
              <c:strCache>
                <c:ptCount val="5"/>
                <c:pt idx="0">
                  <c:v>Year 1</c:v>
                </c:pt>
                <c:pt idx="1">
                  <c:v>Year 2</c:v>
                </c:pt>
                <c:pt idx="2">
                  <c:v>Year 3</c:v>
                </c:pt>
                <c:pt idx="3">
                  <c:v>Year 4</c:v>
                </c:pt>
                <c:pt idx="4">
                  <c:v>Year 5</c:v>
                </c:pt>
              </c:strCache>
            </c:strRef>
          </c:cat>
          <c:val>
            <c:numRef>
              <c:f>'5. Dashboard'!$D$7:$H$7</c:f>
              <c:numCache>
                <c:formatCode>General</c:formatCode>
                <c:ptCount val="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</c:ser>
        <c:marker val="1"/>
        <c:axId val="50020001"/>
        <c:axId val="50020002"/>
      </c:lineChart>
      <c:catAx>
        <c:axId val="50020001"/>
        <c:scaling>
          <c:orientation val="minMax"/>
        </c:scaling>
        <c:axPos val="b"/>
        <c:tickLblPos val="nextTo"/>
        <c:crossAx val="50020002"/>
        <c:crosses val="autoZero"/>
        <c:auto val="1"/>
        <c:lblAlgn val="ctr"/>
        <c:lblOffset val="100"/>
      </c:catAx>
      <c:valAx>
        <c:axId val="50020002"/>
        <c:scaling>
          <c:orientation val="minMax"/>
        </c:scaling>
        <c:axPos val="l"/>
        <c:majorGridlines>
          <c:spPr>
            <a:ln>
              <a:solidFill>
                <a:srgbClr val="E0E0E0"/>
              </a:solidFill>
            </a:ln>
          </c:spPr>
        </c:majorGridlines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Rs. Crore</a:t>
                </a:r>
              </a:p>
            </c:rich>
          </c:tx>
          <c:layout/>
        </c:title>
        <c:numFmt formatCode="General" sourceLinked="1"/>
        <c:tickLblPos val="nextTo"/>
        <c:crossAx val="50020001"/>
        <c:crosses val="autoZero"/>
        <c:crossBetween val="between"/>
      </c:valAx>
    </c:plotArea>
    <c:legend>
      <c:legendPos val="b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9</xdr:row>
      <xdr:rowOff>0</xdr:rowOff>
    </xdr:from>
    <xdr:to>
      <xdr:col>5</xdr:col>
      <xdr:colOff>762000</xdr:colOff>
      <xdr:row>24</xdr:row>
      <xdr:rowOff>161925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0</xdr:colOff>
      <xdr:row>9</xdr:row>
      <xdr:rowOff>0</xdr:rowOff>
    </xdr:from>
    <xdr:to>
      <xdr:col>11</xdr:col>
      <xdr:colOff>76200</xdr:colOff>
      <xdr:row>24</xdr:row>
      <xdr:rowOff>161925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C4:C21"/>
  <sheetViews>
    <sheetView showGridLines="0" tabSelected="1" workbookViewId="0"/>
  </sheetViews>
  <sheetFormatPr defaultRowHeight="15"/>
  <cols>
    <col min="2" max="2" width="5.7109375" customWidth="1"/>
    <col min="3" max="3" width="80.7109375" customWidth="1"/>
  </cols>
  <sheetData>
    <row r="4" spans="3:3">
      <c r="C4" s="1" t="s">
        <v>0</v>
      </c>
    </row>
    <row r="5" spans="3:3">
      <c r="C5" s="2" t="s">
        <v>1</v>
      </c>
    </row>
    <row r="7" spans="3:3">
      <c r="C7" s="3" t="s">
        <v>2</v>
      </c>
    </row>
    <row r="10" spans="3:3">
      <c r="C10" s="4" t="s">
        <v>3</v>
      </c>
    </row>
    <row r="12" spans="3:3">
      <c r="C12" s="5" t="s">
        <v>4</v>
      </c>
    </row>
    <row r="13" spans="3:3">
      <c r="C13" s="5" t="s">
        <v>5</v>
      </c>
    </row>
    <row r="14" spans="3:3">
      <c r="C14" s="5" t="s">
        <v>6</v>
      </c>
    </row>
    <row r="15" spans="3:3">
      <c r="C15" s="5" t="s">
        <v>7</v>
      </c>
    </row>
    <row r="16" spans="3:3">
      <c r="C16" s="5" t="s">
        <v>8</v>
      </c>
    </row>
    <row r="19" spans="3:3">
      <c r="C19" s="4" t="s">
        <v>9</v>
      </c>
    </row>
    <row r="20" spans="3:3">
      <c r="C20" s="3" t="s">
        <v>11</v>
      </c>
    </row>
    <row r="21" spans="3:3">
      <c r="C21" s="3" t="s">
        <v>12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C2:H32"/>
  <sheetViews>
    <sheetView workbookViewId="0">
      <pane xSplit="3" ySplit="5" topLeftCell="D6" activePane="bottomRight" state="frozen"/>
      <selection pane="topRight" activeCell="D1" sqref="D1"/>
      <selection pane="bottomLeft" activeCell="A6" sqref="A6"/>
      <selection pane="bottomRight"/>
    </sheetView>
  </sheetViews>
  <sheetFormatPr defaultRowHeight="15"/>
  <cols>
    <col min="2" max="2" width="4.7109375" customWidth="1"/>
    <col min="3" max="3" width="45.7109375" customWidth="1"/>
    <col min="4" max="8" width="15.7109375" customWidth="1"/>
  </cols>
  <sheetData>
    <row r="2" spans="3:8">
      <c r="C2" s="1" t="s">
        <v>13</v>
      </c>
    </row>
    <row r="4" spans="3:8">
      <c r="D4" s="6" t="s">
        <v>14</v>
      </c>
      <c r="E4" s="6" t="s">
        <v>15</v>
      </c>
      <c r="F4" s="6" t="s">
        <v>16</v>
      </c>
      <c r="G4" s="6" t="s">
        <v>17</v>
      </c>
      <c r="H4" s="6" t="s">
        <v>18</v>
      </c>
    </row>
    <row r="5" spans="3:8">
      <c r="C5" s="7" t="s">
        <v>19</v>
      </c>
    </row>
    <row r="6" spans="3:8">
      <c r="C6" s="5" t="s">
        <v>20</v>
      </c>
      <c r="D6" s="8">
        <v>700</v>
      </c>
      <c r="E6" s="8">
        <v>1200</v>
      </c>
      <c r="F6" s="8">
        <v>1800</v>
      </c>
      <c r="G6" s="8">
        <v>2600</v>
      </c>
      <c r="H6" s="8">
        <v>3800</v>
      </c>
    </row>
    <row r="7" spans="3:8">
      <c r="C7" s="5" t="s">
        <v>21</v>
      </c>
      <c r="D7" s="8">
        <v>0</v>
      </c>
      <c r="E7" s="8">
        <v>300</v>
      </c>
      <c r="F7" s="8">
        <v>600</v>
      </c>
      <c r="G7" s="8">
        <v>1000</v>
      </c>
      <c r="H7" s="8">
        <v>1800</v>
      </c>
    </row>
    <row r="9" spans="3:8">
      <c r="C9" s="5" t="s">
        <v>22</v>
      </c>
      <c r="D9" s="8">
        <v>410</v>
      </c>
      <c r="E9" s="8">
        <v>800</v>
      </c>
      <c r="F9" s="8">
        <v>1300</v>
      </c>
      <c r="G9" s="8">
        <v>1900</v>
      </c>
      <c r="H9" s="8">
        <v>2800</v>
      </c>
    </row>
    <row r="10" spans="3:8">
      <c r="C10" s="5" t="s">
        <v>23</v>
      </c>
      <c r="D10" s="8">
        <v>0</v>
      </c>
      <c r="E10" s="8">
        <v>150</v>
      </c>
      <c r="F10" s="8">
        <v>350</v>
      </c>
      <c r="G10" s="8">
        <v>600</v>
      </c>
      <c r="H10" s="8">
        <v>1000</v>
      </c>
    </row>
    <row r="12" spans="3:8">
      <c r="C12" s="7" t="s">
        <v>24</v>
      </c>
    </row>
    <row r="13" spans="3:8">
      <c r="C13" s="5" t="s">
        <v>25</v>
      </c>
      <c r="D13" s="9">
        <v>0.0073</v>
      </c>
      <c r="E13" s="9">
        <v>0.0073</v>
      </c>
      <c r="F13" s="9">
        <v>0.0073</v>
      </c>
      <c r="G13" s="9">
        <v>0.0073</v>
      </c>
      <c r="H13" s="9">
        <v>0.0073</v>
      </c>
    </row>
    <row r="15" spans="3:8">
      <c r="C15" s="7" t="s">
        <v>26</v>
      </c>
    </row>
    <row r="16" spans="3:8">
      <c r="C16" s="5" t="s">
        <v>27</v>
      </c>
      <c r="D16" s="10">
        <v>10.5</v>
      </c>
      <c r="E16" s="10">
        <v>11</v>
      </c>
      <c r="F16" s="10">
        <v>11.5</v>
      </c>
      <c r="G16" s="10">
        <v>12</v>
      </c>
      <c r="H16" s="10">
        <v>12.5</v>
      </c>
    </row>
    <row r="17" spans="3:8">
      <c r="C17" s="5" t="s">
        <v>28</v>
      </c>
      <c r="D17" s="10">
        <v>1.5</v>
      </c>
      <c r="E17" s="10">
        <v>3</v>
      </c>
      <c r="F17" s="10">
        <v>4</v>
      </c>
      <c r="G17" s="10">
        <v>4.5</v>
      </c>
      <c r="H17" s="10">
        <v>5.5</v>
      </c>
    </row>
    <row r="18" spans="3:8">
      <c r="C18" s="5" t="s">
        <v>29</v>
      </c>
      <c r="D18" s="10">
        <v>2.5</v>
      </c>
      <c r="E18" s="10">
        <v>1.5</v>
      </c>
      <c r="F18" s="10">
        <v>1.5</v>
      </c>
      <c r="G18" s="10">
        <v>1.5</v>
      </c>
      <c r="H18" s="10">
        <v>1.5</v>
      </c>
    </row>
    <row r="19" spans="3:8">
      <c r="C19" s="5" t="s">
        <v>30</v>
      </c>
      <c r="D19" s="10">
        <v>2.5</v>
      </c>
      <c r="E19" s="10">
        <v>3</v>
      </c>
      <c r="F19" s="10">
        <v>2.5</v>
      </c>
      <c r="G19" s="10">
        <v>2.5</v>
      </c>
      <c r="H19" s="10">
        <v>2.5</v>
      </c>
    </row>
    <row r="20" spans="3:8">
      <c r="C20" s="5" t="s">
        <v>31</v>
      </c>
      <c r="D20" s="10">
        <v>1</v>
      </c>
      <c r="E20" s="10">
        <v>1.5</v>
      </c>
      <c r="F20" s="10">
        <v>1.5</v>
      </c>
      <c r="G20" s="10">
        <v>1.5</v>
      </c>
      <c r="H20" s="10">
        <v>1.5</v>
      </c>
    </row>
    <row r="21" spans="3:8">
      <c r="C21" s="5" t="s">
        <v>32</v>
      </c>
      <c r="D21" s="10">
        <v>0.5</v>
      </c>
      <c r="E21" s="10">
        <v>0.5</v>
      </c>
      <c r="F21" s="10">
        <v>0.5</v>
      </c>
      <c r="G21" s="10">
        <v>0.5</v>
      </c>
      <c r="H21" s="10">
        <v>0.5</v>
      </c>
    </row>
    <row r="23" spans="3:8">
      <c r="C23" s="7" t="s">
        <v>33</v>
      </c>
    </row>
    <row r="24" spans="3:8">
      <c r="C24" s="5" t="s">
        <v>27</v>
      </c>
      <c r="D24" s="10">
        <v>10.5</v>
      </c>
      <c r="E24" s="10">
        <v>10.5</v>
      </c>
      <c r="F24" s="10">
        <v>11</v>
      </c>
      <c r="G24" s="10">
        <v>11.5</v>
      </c>
      <c r="H24" s="10">
        <v>12</v>
      </c>
    </row>
    <row r="25" spans="3:8">
      <c r="C25" s="5" t="s">
        <v>28</v>
      </c>
      <c r="D25" s="10">
        <v>1</v>
      </c>
      <c r="E25" s="10">
        <v>2</v>
      </c>
      <c r="F25" s="10">
        <v>3</v>
      </c>
      <c r="G25" s="10">
        <v>4</v>
      </c>
      <c r="H25" s="10">
        <v>5</v>
      </c>
    </row>
    <row r="26" spans="3:8">
      <c r="C26" s="5" t="s">
        <v>29</v>
      </c>
      <c r="D26" s="10">
        <v>2.5</v>
      </c>
      <c r="E26" s="10">
        <v>1.5</v>
      </c>
      <c r="F26" s="10">
        <v>1.5</v>
      </c>
      <c r="G26" s="10">
        <v>1.5</v>
      </c>
      <c r="H26" s="10">
        <v>1.5</v>
      </c>
    </row>
    <row r="27" spans="3:8">
      <c r="C27" s="5" t="s">
        <v>30</v>
      </c>
      <c r="D27" s="10">
        <v>2.5</v>
      </c>
      <c r="E27" s="10">
        <v>3.5</v>
      </c>
      <c r="F27" s="10">
        <v>3</v>
      </c>
      <c r="G27" s="10">
        <v>2.5</v>
      </c>
      <c r="H27" s="10">
        <v>2.5</v>
      </c>
    </row>
    <row r="28" spans="3:8">
      <c r="C28" s="5" t="s">
        <v>31</v>
      </c>
      <c r="D28" s="10">
        <v>1</v>
      </c>
      <c r="E28" s="10">
        <v>1.5</v>
      </c>
      <c r="F28" s="10">
        <v>1.5</v>
      </c>
      <c r="G28" s="10">
        <v>1.5</v>
      </c>
      <c r="H28" s="10">
        <v>1.5</v>
      </c>
    </row>
    <row r="29" spans="3:8">
      <c r="C29" s="5" t="s">
        <v>32</v>
      </c>
      <c r="D29" s="10">
        <v>0.5</v>
      </c>
      <c r="E29" s="10">
        <v>0.5</v>
      </c>
      <c r="F29" s="10">
        <v>0.5</v>
      </c>
      <c r="G29" s="10">
        <v>0.5</v>
      </c>
      <c r="H29" s="10">
        <v>0.5</v>
      </c>
    </row>
    <row r="31" spans="3:8">
      <c r="C31" s="7" t="s">
        <v>34</v>
      </c>
    </row>
    <row r="32" spans="3:8">
      <c r="C32" s="5" t="s">
        <v>35</v>
      </c>
      <c r="D32" s="10">
        <v>796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C2:H30"/>
  <sheetViews>
    <sheetView workbookViewId="0">
      <pane xSplit="3" ySplit="5" topLeftCell="D6" activePane="bottomRight" state="frozen"/>
      <selection pane="topRight" activeCell="D1" sqref="D1"/>
      <selection pane="bottomLeft" activeCell="A6" sqref="A6"/>
      <selection pane="bottomRight"/>
    </sheetView>
  </sheetViews>
  <sheetFormatPr defaultRowHeight="15" outlineLevelRow="1"/>
  <cols>
    <col min="1" max="1" width="3.7109375" customWidth="1"/>
    <col min="2" max="2" width="4.7109375" customWidth="1"/>
    <col min="3" max="3" width="45.7109375" customWidth="1"/>
    <col min="4" max="8" width="15.7109375" customWidth="1"/>
  </cols>
  <sheetData>
    <row r="2" spans="3:8">
      <c r="C2" s="1" t="s">
        <v>36</v>
      </c>
    </row>
    <row r="4" spans="3:8">
      <c r="D4" s="6" t="s">
        <v>14</v>
      </c>
      <c r="E4" s="6" t="s">
        <v>15</v>
      </c>
      <c r="F4" s="6" t="s">
        <v>16</v>
      </c>
      <c r="G4" s="6" t="s">
        <v>17</v>
      </c>
      <c r="H4" s="6" t="s">
        <v>18</v>
      </c>
    </row>
    <row r="5" spans="3:8">
      <c r="C5" s="7" t="s">
        <v>37</v>
      </c>
    </row>
    <row r="6" spans="3:8">
      <c r="C6" s="5" t="s">
        <v>38</v>
      </c>
      <c r="D6" s="11">
        <f>'2. Assumptions'!D6</f>
        <v>0</v>
      </c>
      <c r="E6" s="11">
        <f>'2. Assumptions'!E6</f>
        <v>0</v>
      </c>
      <c r="F6" s="11">
        <f>'2. Assumptions'!F6</f>
        <v>0</v>
      </c>
      <c r="G6" s="11">
        <f>'2. Assumptions'!G6</f>
        <v>0</v>
      </c>
      <c r="H6" s="11">
        <f>'2. Assumptions'!H6</f>
        <v>0</v>
      </c>
    </row>
    <row r="7" spans="3:8">
      <c r="C7" s="5" t="s">
        <v>39</v>
      </c>
      <c r="D7" s="11">
        <f>'2. Assumptions'!D7</f>
        <v>0</v>
      </c>
      <c r="E7" s="11">
        <f>'2. Assumptions'!E7</f>
        <v>0</v>
      </c>
      <c r="F7" s="11">
        <f>'2. Assumptions'!F7</f>
        <v>0</v>
      </c>
      <c r="G7" s="11">
        <f>'2. Assumptions'!G7</f>
        <v>0</v>
      </c>
      <c r="H7" s="11">
        <f>'2. Assumptions'!H7</f>
        <v>0</v>
      </c>
    </row>
    <row r="8" spans="3:8">
      <c r="C8" s="4" t="s">
        <v>40</v>
      </c>
      <c r="D8" s="12">
        <f>SUM(D6:D7)</f>
        <v>0</v>
      </c>
      <c r="E8" s="12">
        <f>SUM(E6:E7)</f>
        <v>0</v>
      </c>
      <c r="F8" s="12">
        <f>SUM(F6:F7)</f>
        <v>0</v>
      </c>
      <c r="G8" s="12">
        <f>SUM(G6:G7)</f>
        <v>0</v>
      </c>
      <c r="H8" s="12">
        <f>SUM(H6:H7)</f>
        <v>0</v>
      </c>
    </row>
    <row r="10" spans="3:8">
      <c r="C10" s="7" t="s">
        <v>41</v>
      </c>
    </row>
    <row r="11" spans="3:8">
      <c r="C11" s="5" t="s">
        <v>42</v>
      </c>
      <c r="D11" s="13">
        <f>'2. Assumptions'!D13</f>
        <v>0</v>
      </c>
      <c r="E11" s="13">
        <f>'2. Assumptions'!E13</f>
        <v>0</v>
      </c>
      <c r="F11" s="13">
        <f>'2. Assumptions'!F13</f>
        <v>0</v>
      </c>
      <c r="G11" s="13">
        <f>'2. Assumptions'!G13</f>
        <v>0</v>
      </c>
      <c r="H11" s="13">
        <f>'2. Assumptions'!H13</f>
        <v>0</v>
      </c>
    </row>
    <row r="12" spans="3:8">
      <c r="C12" s="4" t="s">
        <v>43</v>
      </c>
      <c r="D12" s="14">
        <f>D8*D11</f>
        <v>0</v>
      </c>
      <c r="E12" s="14">
        <f>E8*E11</f>
        <v>0</v>
      </c>
      <c r="F12" s="14">
        <f>F8*F11</f>
        <v>0</v>
      </c>
      <c r="G12" s="14">
        <f>G8*G11</f>
        <v>0</v>
      </c>
      <c r="H12" s="14">
        <f>H8*H11</f>
        <v>0</v>
      </c>
    </row>
    <row r="14" spans="3:8">
      <c r="C14" s="7" t="s">
        <v>44</v>
      </c>
    </row>
    <row r="15" spans="3:8" outlineLevel="1">
      <c r="C15" s="5" t="s">
        <v>27</v>
      </c>
      <c r="D15" s="15">
        <f>'2. Assumptions'!D16</f>
        <v>0</v>
      </c>
      <c r="E15" s="15">
        <f>'2. Assumptions'!E16</f>
        <v>0</v>
      </c>
      <c r="F15" s="15">
        <f>'2. Assumptions'!F16</f>
        <v>0</v>
      </c>
      <c r="G15" s="15">
        <f>'2. Assumptions'!G16</f>
        <v>0</v>
      </c>
      <c r="H15" s="15">
        <f>'2. Assumptions'!H16</f>
        <v>0</v>
      </c>
    </row>
    <row r="16" spans="3:8" outlineLevel="1">
      <c r="C16" s="5" t="s">
        <v>28</v>
      </c>
      <c r="D16" s="15">
        <f>'2. Assumptions'!D17</f>
        <v>0</v>
      </c>
      <c r="E16" s="15">
        <f>'2. Assumptions'!E17</f>
        <v>0</v>
      </c>
      <c r="F16" s="15">
        <f>'2. Assumptions'!F17</f>
        <v>0</v>
      </c>
      <c r="G16" s="15">
        <f>'2. Assumptions'!G17</f>
        <v>0</v>
      </c>
      <c r="H16" s="15">
        <f>'2. Assumptions'!H17</f>
        <v>0</v>
      </c>
    </row>
    <row r="17" spans="3:8" outlineLevel="1">
      <c r="C17" s="5" t="s">
        <v>29</v>
      </c>
      <c r="D17" s="15">
        <f>'2. Assumptions'!D18</f>
        <v>0</v>
      </c>
      <c r="E17" s="15">
        <f>'2. Assumptions'!E18</f>
        <v>0</v>
      </c>
      <c r="F17" s="15">
        <f>'2. Assumptions'!F18</f>
        <v>0</v>
      </c>
      <c r="G17" s="15">
        <f>'2. Assumptions'!G18</f>
        <v>0</v>
      </c>
      <c r="H17" s="15">
        <f>'2. Assumptions'!H18</f>
        <v>0</v>
      </c>
    </row>
    <row r="18" spans="3:8" outlineLevel="1">
      <c r="C18" s="5" t="s">
        <v>30</v>
      </c>
      <c r="D18" s="15">
        <f>'2. Assumptions'!D19</f>
        <v>0</v>
      </c>
      <c r="E18" s="15">
        <f>'2. Assumptions'!E19</f>
        <v>0</v>
      </c>
      <c r="F18" s="15">
        <f>'2. Assumptions'!F19</f>
        <v>0</v>
      </c>
      <c r="G18" s="15">
        <f>'2. Assumptions'!G19</f>
        <v>0</v>
      </c>
      <c r="H18" s="15">
        <f>'2. Assumptions'!H19</f>
        <v>0</v>
      </c>
    </row>
    <row r="19" spans="3:8" outlineLevel="1">
      <c r="C19" s="5" t="s">
        <v>31</v>
      </c>
      <c r="D19" s="15">
        <f>'2. Assumptions'!D20</f>
        <v>0</v>
      </c>
      <c r="E19" s="15">
        <f>'2. Assumptions'!E20</f>
        <v>0</v>
      </c>
      <c r="F19" s="15">
        <f>'2. Assumptions'!F20</f>
        <v>0</v>
      </c>
      <c r="G19" s="15">
        <f>'2. Assumptions'!G20</f>
        <v>0</v>
      </c>
      <c r="H19" s="15">
        <f>'2. Assumptions'!H20</f>
        <v>0</v>
      </c>
    </row>
    <row r="20" spans="3:8" outlineLevel="1">
      <c r="C20" s="5" t="s">
        <v>32</v>
      </c>
      <c r="D20" s="15">
        <f>'2. Assumptions'!D21</f>
        <v>0</v>
      </c>
      <c r="E20" s="15">
        <f>'2. Assumptions'!E21</f>
        <v>0</v>
      </c>
      <c r="F20" s="15">
        <f>'2. Assumptions'!F21</f>
        <v>0</v>
      </c>
      <c r="G20" s="15">
        <f>'2. Assumptions'!G21</f>
        <v>0</v>
      </c>
      <c r="H20" s="15">
        <f>'2. Assumptions'!H21</f>
        <v>0</v>
      </c>
    </row>
    <row r="21" spans="3:8">
      <c r="C21" s="4" t="s">
        <v>45</v>
      </c>
      <c r="D21" s="14">
        <f>SUM(D15:D20)</f>
        <v>0</v>
      </c>
      <c r="E21" s="14">
        <f>SUM(E15:E20)</f>
        <v>0</v>
      </c>
      <c r="F21" s="14">
        <f>SUM(F15:F20)</f>
        <v>0</v>
      </c>
      <c r="G21" s="14">
        <f>SUM(G15:G20)</f>
        <v>0</v>
      </c>
      <c r="H21" s="14">
        <f>SUM(H15:H20)</f>
        <v>0</v>
      </c>
    </row>
    <row r="23" spans="3:8">
      <c r="C23" s="7" t="s">
        <v>46</v>
      </c>
    </row>
    <row r="24" spans="3:8">
      <c r="C24" s="4" t="s">
        <v>47</v>
      </c>
      <c r="D24" s="14">
        <f>D12-D21</f>
        <v>0</v>
      </c>
      <c r="E24" s="14">
        <f>E12-E21</f>
        <v>0</v>
      </c>
      <c r="F24" s="14">
        <f>F12-F21</f>
        <v>0</v>
      </c>
      <c r="G24" s="14">
        <f>G12-G21</f>
        <v>0</v>
      </c>
      <c r="H24" s="14">
        <f>H12-H21</f>
        <v>0</v>
      </c>
    </row>
    <row r="25" spans="3:8">
      <c r="C25" s="5" t="s">
        <v>48</v>
      </c>
      <c r="D25" s="13">
        <f>IF(D24&gt;0, D24/D12, "NM")</f>
        <v>0</v>
      </c>
      <c r="E25" s="13">
        <f>IF(E24&gt;0, E24/E12, "NM")</f>
        <v>0</v>
      </c>
      <c r="F25" s="13">
        <f>IF(F24&gt;0, F24/F12, "NM")</f>
        <v>0</v>
      </c>
      <c r="G25" s="13">
        <f>IF(G24&gt;0, G24/G12, "NM")</f>
        <v>0</v>
      </c>
      <c r="H25" s="13">
        <f>IF(H24&gt;0, H24/H12, "NM")</f>
        <v>0</v>
      </c>
    </row>
    <row r="27" spans="3:8">
      <c r="C27" s="7" t="s">
        <v>49</v>
      </c>
    </row>
    <row r="28" spans="3:8">
      <c r="C28" s="5" t="s">
        <v>50</v>
      </c>
      <c r="D28" s="15">
        <f>MIN(0, D24)</f>
        <v>0</v>
      </c>
      <c r="E28" s="15">
        <f>MIN(0, D28 + E24)</f>
        <v>0</v>
      </c>
      <c r="F28" s="15">
        <f>MIN(0, E28 + F24)</f>
        <v>0</v>
      </c>
      <c r="G28" s="15">
        <f>MIN(0, F28 + G24)</f>
        <v>0</v>
      </c>
      <c r="H28" s="15">
        <f>MIN(0, G28 + H24)</f>
        <v>0</v>
      </c>
    </row>
    <row r="29" spans="3:8">
      <c r="C29" s="5" t="s">
        <v>51</v>
      </c>
      <c r="D29" s="15">
        <f>'2. Assumptions'!$D$32</f>
        <v>0</v>
      </c>
      <c r="E29" s="15">
        <f>'2. Assumptions'!$D$32</f>
        <v>0</v>
      </c>
      <c r="F29" s="15">
        <f>'2. Assumptions'!$D$32</f>
        <v>0</v>
      </c>
      <c r="G29" s="15">
        <f>'2. Assumptions'!$D$32</f>
        <v>0</v>
      </c>
      <c r="H29" s="15">
        <f>'2. Assumptions'!$D$32</f>
        <v>0</v>
      </c>
    </row>
    <row r="30" spans="3:8">
      <c r="C30" s="4" t="s">
        <v>52</v>
      </c>
      <c r="D30" s="13">
        <f>D28 / D29</f>
        <v>0</v>
      </c>
      <c r="E30" s="13">
        <f>E28 / E29</f>
        <v>0</v>
      </c>
      <c r="F30" s="13">
        <f>F28 / F29</f>
        <v>0</v>
      </c>
      <c r="G30" s="13">
        <f>G28 / G29</f>
        <v>0</v>
      </c>
      <c r="H30" s="13">
        <f>H28 / H29</f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C2:H30"/>
  <sheetViews>
    <sheetView workbookViewId="0">
      <pane xSplit="3" ySplit="5" topLeftCell="D6" activePane="bottomRight" state="frozen"/>
      <selection pane="topRight" activeCell="D1" sqref="D1"/>
      <selection pane="bottomLeft" activeCell="A6" sqref="A6"/>
      <selection pane="bottomRight"/>
    </sheetView>
  </sheetViews>
  <sheetFormatPr defaultRowHeight="15" outlineLevelRow="1"/>
  <cols>
    <col min="1" max="1" width="3.7109375" customWidth="1"/>
    <col min="2" max="2" width="4.7109375" customWidth="1"/>
    <col min="3" max="3" width="45.7109375" customWidth="1"/>
    <col min="4" max="8" width="15.7109375" customWidth="1"/>
  </cols>
  <sheetData>
    <row r="2" spans="3:8">
      <c r="C2" s="1" t="s">
        <v>53</v>
      </c>
    </row>
    <row r="4" spans="3:8">
      <c r="D4" s="6" t="s">
        <v>14</v>
      </c>
      <c r="E4" s="6" t="s">
        <v>15</v>
      </c>
      <c r="F4" s="6" t="s">
        <v>16</v>
      </c>
      <c r="G4" s="6" t="s">
        <v>17</v>
      </c>
      <c r="H4" s="6" t="s">
        <v>18</v>
      </c>
    </row>
    <row r="5" spans="3:8">
      <c r="C5" s="7" t="s">
        <v>37</v>
      </c>
    </row>
    <row r="6" spans="3:8">
      <c r="C6" s="5" t="s">
        <v>38</v>
      </c>
      <c r="D6" s="11">
        <f>'2. Assumptions'!D9</f>
        <v>0</v>
      </c>
      <c r="E6" s="11">
        <f>'2. Assumptions'!E9</f>
        <v>0</v>
      </c>
      <c r="F6" s="11">
        <f>'2. Assumptions'!F9</f>
        <v>0</v>
      </c>
      <c r="G6" s="11">
        <f>'2. Assumptions'!G9</f>
        <v>0</v>
      </c>
      <c r="H6" s="11">
        <f>'2. Assumptions'!H9</f>
        <v>0</v>
      </c>
    </row>
    <row r="7" spans="3:8">
      <c r="C7" s="5" t="s">
        <v>39</v>
      </c>
      <c r="D7" s="11">
        <f>'2. Assumptions'!D10</f>
        <v>0</v>
      </c>
      <c r="E7" s="11">
        <f>'2. Assumptions'!E10</f>
        <v>0</v>
      </c>
      <c r="F7" s="11">
        <f>'2. Assumptions'!F10</f>
        <v>0</v>
      </c>
      <c r="G7" s="11">
        <f>'2. Assumptions'!G10</f>
        <v>0</v>
      </c>
      <c r="H7" s="11">
        <f>'2. Assumptions'!H10</f>
        <v>0</v>
      </c>
    </row>
    <row r="8" spans="3:8">
      <c r="C8" s="4" t="s">
        <v>40</v>
      </c>
      <c r="D8" s="12">
        <f>SUM(D6:D7)</f>
        <v>0</v>
      </c>
      <c r="E8" s="12">
        <f>SUM(E6:E7)</f>
        <v>0</v>
      </c>
      <c r="F8" s="12">
        <f>SUM(F6:F7)</f>
        <v>0</v>
      </c>
      <c r="G8" s="12">
        <f>SUM(G6:G7)</f>
        <v>0</v>
      </c>
      <c r="H8" s="12">
        <f>SUM(H6:H7)</f>
        <v>0</v>
      </c>
    </row>
    <row r="10" spans="3:8">
      <c r="C10" s="7" t="s">
        <v>41</v>
      </c>
    </row>
    <row r="11" spans="3:8">
      <c r="C11" s="5" t="s">
        <v>42</v>
      </c>
      <c r="D11" s="13">
        <f>'2. Assumptions'!D13</f>
        <v>0</v>
      </c>
      <c r="E11" s="13">
        <f>'2. Assumptions'!E13</f>
        <v>0</v>
      </c>
      <c r="F11" s="13">
        <f>'2. Assumptions'!F13</f>
        <v>0</v>
      </c>
      <c r="G11" s="13">
        <f>'2. Assumptions'!G13</f>
        <v>0</v>
      </c>
      <c r="H11" s="13">
        <f>'2. Assumptions'!H13</f>
        <v>0</v>
      </c>
    </row>
    <row r="12" spans="3:8">
      <c r="C12" s="4" t="s">
        <v>43</v>
      </c>
      <c r="D12" s="14">
        <f>D8*D11</f>
        <v>0</v>
      </c>
      <c r="E12" s="14">
        <f>E8*E11</f>
        <v>0</v>
      </c>
      <c r="F12" s="14">
        <f>F8*F11</f>
        <v>0</v>
      </c>
      <c r="G12" s="14">
        <f>G8*G11</f>
        <v>0</v>
      </c>
      <c r="H12" s="14">
        <f>H8*H11</f>
        <v>0</v>
      </c>
    </row>
    <row r="14" spans="3:8">
      <c r="C14" s="7" t="s">
        <v>44</v>
      </c>
    </row>
    <row r="15" spans="3:8" outlineLevel="1">
      <c r="C15" s="5" t="s">
        <v>27</v>
      </c>
      <c r="D15" s="15">
        <f>'2. Assumptions'!D24</f>
        <v>0</v>
      </c>
      <c r="E15" s="15">
        <f>'2. Assumptions'!E24</f>
        <v>0</v>
      </c>
      <c r="F15" s="15">
        <f>'2. Assumptions'!F24</f>
        <v>0</v>
      </c>
      <c r="G15" s="15">
        <f>'2. Assumptions'!G24</f>
        <v>0</v>
      </c>
      <c r="H15" s="15">
        <f>'2. Assumptions'!H24</f>
        <v>0</v>
      </c>
    </row>
    <row r="16" spans="3:8" outlineLevel="1">
      <c r="C16" s="5" t="s">
        <v>28</v>
      </c>
      <c r="D16" s="15">
        <f>'2. Assumptions'!D25</f>
        <v>0</v>
      </c>
      <c r="E16" s="15">
        <f>'2. Assumptions'!E25</f>
        <v>0</v>
      </c>
      <c r="F16" s="15">
        <f>'2. Assumptions'!F25</f>
        <v>0</v>
      </c>
      <c r="G16" s="15">
        <f>'2. Assumptions'!G25</f>
        <v>0</v>
      </c>
      <c r="H16" s="15">
        <f>'2. Assumptions'!H25</f>
        <v>0</v>
      </c>
    </row>
    <row r="17" spans="3:8" outlineLevel="1">
      <c r="C17" s="5" t="s">
        <v>29</v>
      </c>
      <c r="D17" s="15">
        <f>'2. Assumptions'!D26</f>
        <v>0</v>
      </c>
      <c r="E17" s="15">
        <f>'2. Assumptions'!E26</f>
        <v>0</v>
      </c>
      <c r="F17" s="15">
        <f>'2. Assumptions'!F26</f>
        <v>0</v>
      </c>
      <c r="G17" s="15">
        <f>'2. Assumptions'!G26</f>
        <v>0</v>
      </c>
      <c r="H17" s="15">
        <f>'2. Assumptions'!H26</f>
        <v>0</v>
      </c>
    </row>
    <row r="18" spans="3:8" outlineLevel="1">
      <c r="C18" s="5" t="s">
        <v>30</v>
      </c>
      <c r="D18" s="15">
        <f>'2. Assumptions'!D27</f>
        <v>0</v>
      </c>
      <c r="E18" s="15">
        <f>'2. Assumptions'!E27</f>
        <v>0</v>
      </c>
      <c r="F18" s="15">
        <f>'2. Assumptions'!F27</f>
        <v>0</v>
      </c>
      <c r="G18" s="15">
        <f>'2. Assumptions'!G27</f>
        <v>0</v>
      </c>
      <c r="H18" s="15">
        <f>'2. Assumptions'!H27</f>
        <v>0</v>
      </c>
    </row>
    <row r="19" spans="3:8" outlineLevel="1">
      <c r="C19" s="5" t="s">
        <v>31</v>
      </c>
      <c r="D19" s="15">
        <f>'2. Assumptions'!D28</f>
        <v>0</v>
      </c>
      <c r="E19" s="15">
        <f>'2. Assumptions'!E28</f>
        <v>0</v>
      </c>
      <c r="F19" s="15">
        <f>'2. Assumptions'!F28</f>
        <v>0</v>
      </c>
      <c r="G19" s="15">
        <f>'2. Assumptions'!G28</f>
        <v>0</v>
      </c>
      <c r="H19" s="15">
        <f>'2. Assumptions'!H28</f>
        <v>0</v>
      </c>
    </row>
    <row r="20" spans="3:8" outlineLevel="1">
      <c r="C20" s="5" t="s">
        <v>32</v>
      </c>
      <c r="D20" s="15">
        <f>'2. Assumptions'!D29</f>
        <v>0</v>
      </c>
      <c r="E20" s="15">
        <f>'2. Assumptions'!E29</f>
        <v>0</v>
      </c>
      <c r="F20" s="15">
        <f>'2. Assumptions'!F29</f>
        <v>0</v>
      </c>
      <c r="G20" s="15">
        <f>'2. Assumptions'!G29</f>
        <v>0</v>
      </c>
      <c r="H20" s="15">
        <f>'2. Assumptions'!H29</f>
        <v>0</v>
      </c>
    </row>
    <row r="21" spans="3:8">
      <c r="C21" s="4" t="s">
        <v>45</v>
      </c>
      <c r="D21" s="14">
        <f>SUM(D15:D20)</f>
        <v>0</v>
      </c>
      <c r="E21" s="14">
        <f>SUM(E15:E20)</f>
        <v>0</v>
      </c>
      <c r="F21" s="14">
        <f>SUM(F15:F20)</f>
        <v>0</v>
      </c>
      <c r="G21" s="14">
        <f>SUM(G15:G20)</f>
        <v>0</v>
      </c>
      <c r="H21" s="14">
        <f>SUM(H15:H20)</f>
        <v>0</v>
      </c>
    </row>
    <row r="23" spans="3:8">
      <c r="C23" s="7" t="s">
        <v>46</v>
      </c>
    </row>
    <row r="24" spans="3:8">
      <c r="C24" s="4" t="s">
        <v>47</v>
      </c>
      <c r="D24" s="14">
        <f>D12-D21</f>
        <v>0</v>
      </c>
      <c r="E24" s="14">
        <f>E12-E21</f>
        <v>0</v>
      </c>
      <c r="F24" s="14">
        <f>F12-F21</f>
        <v>0</v>
      </c>
      <c r="G24" s="14">
        <f>G12-G21</f>
        <v>0</v>
      </c>
      <c r="H24" s="14">
        <f>H12-H21</f>
        <v>0</v>
      </c>
    </row>
    <row r="25" spans="3:8">
      <c r="C25" s="5" t="s">
        <v>48</v>
      </c>
      <c r="D25" s="13">
        <f>IF(D24&gt;0, D24/D12, "NM")</f>
        <v>0</v>
      </c>
      <c r="E25" s="13">
        <f>IF(E24&gt;0, E24/E12, "NM")</f>
        <v>0</v>
      </c>
      <c r="F25" s="13">
        <f>IF(F24&gt;0, F24/F12, "NM")</f>
        <v>0</v>
      </c>
      <c r="G25" s="13">
        <f>IF(G24&gt;0, G24/G12, "NM")</f>
        <v>0</v>
      </c>
      <c r="H25" s="13">
        <f>IF(H24&gt;0, H24/H12, "NM")</f>
        <v>0</v>
      </c>
    </row>
    <row r="27" spans="3:8">
      <c r="C27" s="7" t="s">
        <v>49</v>
      </c>
    </row>
    <row r="28" spans="3:8">
      <c r="C28" s="5" t="s">
        <v>50</v>
      </c>
      <c r="D28" s="15">
        <f>MIN(0, D24)</f>
        <v>0</v>
      </c>
      <c r="E28" s="15">
        <f>MIN(0, D28 + E24)</f>
        <v>0</v>
      </c>
      <c r="F28" s="15">
        <f>MIN(0, E28 + F24)</f>
        <v>0</v>
      </c>
      <c r="G28" s="15">
        <f>MIN(0, F28 + G24)</f>
        <v>0</v>
      </c>
      <c r="H28" s="15">
        <f>MIN(0, G28 + H24)</f>
        <v>0</v>
      </c>
    </row>
    <row r="29" spans="3:8">
      <c r="C29" s="5" t="s">
        <v>51</v>
      </c>
      <c r="D29" s="15">
        <f>'2. Assumptions'!$D$32</f>
        <v>0</v>
      </c>
      <c r="E29" s="15">
        <f>'2. Assumptions'!$D$32</f>
        <v>0</v>
      </c>
      <c r="F29" s="15">
        <f>'2. Assumptions'!$D$32</f>
        <v>0</v>
      </c>
      <c r="G29" s="15">
        <f>'2. Assumptions'!$D$32</f>
        <v>0</v>
      </c>
      <c r="H29" s="15">
        <f>'2. Assumptions'!$D$32</f>
        <v>0</v>
      </c>
    </row>
    <row r="30" spans="3:8">
      <c r="C30" s="4" t="s">
        <v>52</v>
      </c>
      <c r="D30" s="13">
        <f>D28 / D29</f>
        <v>0</v>
      </c>
      <c r="E30" s="13">
        <f>E28 / E29</f>
        <v>0</v>
      </c>
      <c r="F30" s="13">
        <f>F28 / F29</f>
        <v>0</v>
      </c>
      <c r="G30" s="13">
        <f>G28 / G29</f>
        <v>0</v>
      </c>
      <c r="H30" s="13">
        <f>H28 / H29</f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C2:H7"/>
  <sheetViews>
    <sheetView showGridLines="0" workbookViewId="0"/>
  </sheetViews>
  <sheetFormatPr defaultRowHeight="15"/>
  <cols>
    <col min="2" max="2" width="3.7109375" customWidth="1"/>
    <col min="3" max="3" width="35.7109375" customWidth="1"/>
    <col min="4" max="9" width="15.7109375" customWidth="1"/>
  </cols>
  <sheetData>
    <row r="2" spans="3:8">
      <c r="C2" s="1" t="s">
        <v>54</v>
      </c>
    </row>
    <row r="4" spans="3:8">
      <c r="D4" s="6" t="s">
        <v>14</v>
      </c>
      <c r="E4" s="6" t="s">
        <v>15</v>
      </c>
      <c r="F4" s="6" t="s">
        <v>16</v>
      </c>
      <c r="G4" s="6" t="s">
        <v>17</v>
      </c>
      <c r="H4" s="6" t="s">
        <v>18</v>
      </c>
    </row>
    <row r="5" spans="3:8">
      <c r="C5" s="4" t="s">
        <v>55</v>
      </c>
      <c r="D5" s="11">
        <f>'3. Base Case'!D8</f>
        <v>0</v>
      </c>
      <c r="E5" s="11">
        <f>'3. Base Case'!E8</f>
        <v>0</v>
      </c>
      <c r="F5" s="11">
        <f>'3. Base Case'!F8</f>
        <v>0</v>
      </c>
      <c r="G5" s="11">
        <f>'3. Base Case'!G8</f>
        <v>0</v>
      </c>
      <c r="H5" s="11">
        <f>'3. Base Case'!H8</f>
        <v>0</v>
      </c>
    </row>
    <row r="6" spans="3:8">
      <c r="C6" s="4" t="s">
        <v>56</v>
      </c>
      <c r="D6" s="15">
        <f>'3. Base Case'!D18</f>
        <v>0</v>
      </c>
      <c r="E6" s="15">
        <f>'3. Base Case'!E18</f>
        <v>0</v>
      </c>
      <c r="F6" s="15">
        <f>'3. Base Case'!F18</f>
        <v>0</v>
      </c>
      <c r="G6" s="15">
        <f>'3. Base Case'!G18</f>
        <v>0</v>
      </c>
      <c r="H6" s="15">
        <f>'3. Base Case'!H18</f>
        <v>0</v>
      </c>
    </row>
    <row r="7" spans="3:8">
      <c r="C7" s="4" t="s">
        <v>57</v>
      </c>
      <c r="D7" s="15">
        <f>'4. Conservative'!D18</f>
        <v>0</v>
      </c>
      <c r="E7" s="15">
        <f>'4. Conservative'!E18</f>
        <v>0</v>
      </c>
      <c r="F7" s="15">
        <f>'4. Conservative'!F18</f>
        <v>0</v>
      </c>
      <c r="G7" s="15">
        <f>'4. Conservative'!G18</f>
        <v>0</v>
      </c>
      <c r="H7" s="15">
        <f>'4. Conservative'!H18</f>
        <v>0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1. Cover</vt:lpstr>
      <vt:lpstr>2. Assumptions</vt:lpstr>
      <vt:lpstr>3. Base Case</vt:lpstr>
      <vt:lpstr>4. Conservative</vt:lpstr>
      <vt:lpstr>5. Dashboard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2026-02-27T13:18:43Z</dcterms:created>
  <dcterms:modified xsi:type="dcterms:W3CDTF">2026-02-27T13:18:43Z</dcterms:modified>
</cp:coreProperties>
</file>